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80" documentId="11_E60897F41BE170836B02CE998F75CCDC64E183C8" xr6:coauthVersionLast="47" xr6:coauthVersionMax="47" xr10:uidLastSave="{D23A5601-B5E4-466F-AB99-492BDAF20B30}"/>
  <bookViews>
    <workbookView xWindow="240" yWindow="105" windowWidth="14805" windowHeight="8010" xr2:uid="{00000000-000D-0000-FFFF-FFFF00000000}"/>
  </bookViews>
  <sheets>
    <sheet name="ticket" sheetId="2" r:id="rId1"/>
    <sheet name="feedback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4" i="2"/>
  <c r="J3" i="2"/>
  <c r="J2" i="2"/>
  <c r="I5" i="2"/>
  <c r="I4" i="2"/>
  <c r="I3" i="2"/>
  <c r="I2" i="2"/>
  <c r="F4" i="2"/>
  <c r="F2" i="2"/>
  <c r="G3" i="2"/>
  <c r="G4" i="2"/>
  <c r="G5" i="2"/>
  <c r="G2" i="2"/>
  <c r="F3" i="2"/>
  <c r="F5" i="2"/>
  <c r="D5" i="1"/>
  <c r="D4" i="1"/>
  <c r="D3" i="1"/>
  <c r="D2" i="1"/>
</calcChain>
</file>

<file path=xl/sharedStrings.xml><?xml version="1.0" encoding="utf-8"?>
<sst xmlns="http://schemas.openxmlformats.org/spreadsheetml/2006/main" count="34" uniqueCount="25">
  <si>
    <t>ticket_id</t>
  </si>
  <si>
    <t>created_at</t>
  </si>
  <si>
    <t>closed_at</t>
  </si>
  <si>
    <t>outlet_id</t>
  </si>
  <si>
    <t>cms_id</t>
  </si>
  <si>
    <t>Same_day</t>
  </si>
  <si>
    <t>Same_hour</t>
  </si>
  <si>
    <t>outlet</t>
  </si>
  <si>
    <t>same day</t>
  </si>
  <si>
    <t>same hour</t>
  </si>
  <si>
    <t>t1</t>
  </si>
  <si>
    <t>o1</t>
  </si>
  <si>
    <t>c1</t>
  </si>
  <si>
    <t>t2</t>
  </si>
  <si>
    <t>o2</t>
  </si>
  <si>
    <t>c2</t>
  </si>
  <si>
    <t>t3</t>
  </si>
  <si>
    <t>o3</t>
  </si>
  <si>
    <t>c3</t>
  </si>
  <si>
    <t>t4</t>
  </si>
  <si>
    <t>o4</t>
  </si>
  <si>
    <t>c4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</si>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</sst>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22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CB0B-A054-43FA-8763-0E61BA220024}">
  <dimension ref="A1:J5"/>
  <sheetViews>
    <sheetView tabSelected="1" workbookViewId="0">
      <selection activeCell="J6" sqref="J6"/>
    </sheetView>
  </sheetViews>
  <sheetFormatPr defaultRowHeight="15"/>
  <cols>
    <col min="1" max="1" width="8.42578125" style="8" bestFit="1" customWidth="1"/>
    <col min="2" max="2" width="15.5703125" style="2" bestFit="1" customWidth="1"/>
    <col min="3" max="3" width="15.5703125" bestFit="1" customWidth="1"/>
    <col min="4" max="4" width="14" bestFit="1" customWidth="1"/>
    <col min="5" max="5" width="12.140625" bestFit="1" customWidth="1"/>
    <col min="6" max="6" width="9.85546875" bestFit="1" customWidth="1"/>
    <col min="7" max="7" width="10.85546875" bestFit="1" customWidth="1"/>
    <col min="10" max="10" width="10.140625" bestFit="1" customWidth="1"/>
  </cols>
  <sheetData>
    <row r="1" spans="1:10">
      <c r="A1" s="8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7" t="s">
        <v>10</v>
      </c>
      <c r="B2" s="9">
        <v>44427.698414351849</v>
      </c>
      <c r="C2" s="5">
        <v>44427.698414351849</v>
      </c>
      <c r="D2" s="3" t="s">
        <v>11</v>
      </c>
      <c r="E2" s="4" t="s">
        <v>12</v>
      </c>
      <c r="F2" t="str">
        <f>IF(INT(B2)=INT(C2),"Yes","No")</f>
        <v>Yes</v>
      </c>
      <c r="G2" t="str">
        <f>IF(AND(INT(B2)=INT(C2),HOUR(B2)=HOUR(C2)),"Yes","No")</f>
        <v>Yes</v>
      </c>
      <c r="H2" t="s">
        <v>11</v>
      </c>
      <c r="I2">
        <f>COUNTIFS(D:D,"o1",F:F,"Yes")</f>
        <v>1</v>
      </c>
      <c r="J2">
        <f>COUNTIFS(D:D,"o1",G:G,"Yes")</f>
        <v>1</v>
      </c>
    </row>
    <row r="3" spans="1:10">
      <c r="A3" s="8" t="s">
        <v>13</v>
      </c>
      <c r="B3" s="10">
        <v>44429.464837962965</v>
      </c>
      <c r="C3" s="5">
        <v>44429.717881944445</v>
      </c>
      <c r="D3" t="s">
        <v>14</v>
      </c>
      <c r="E3" t="s">
        <v>15</v>
      </c>
      <c r="F3" t="str">
        <f t="shared" ref="F3:F5" si="0">IF(INT(B3)=INT(C3),"Yes","No")</f>
        <v>Yes</v>
      </c>
      <c r="G3" t="str">
        <f t="shared" ref="G3:G5" si="1">IF(AND(INT(B3)=INT(C3),HOUR(B3)=HOUR(C3)),"Yes","No")</f>
        <v>No</v>
      </c>
      <c r="H3" t="s">
        <v>14</v>
      </c>
      <c r="I3">
        <f>COUNTIFS(D:D,"o2",F:F,"Yes")</f>
        <v>1</v>
      </c>
      <c r="J3">
        <f>COUNTIFS(D:D,"o2",G:G,"Yes")</f>
        <v>0</v>
      </c>
    </row>
    <row r="4" spans="1:10">
      <c r="A4" s="8" t="s">
        <v>16</v>
      </c>
      <c r="B4" s="11">
        <v>44430.423171296294</v>
      </c>
      <c r="C4" s="6">
        <v>44460.634548611109</v>
      </c>
      <c r="D4" t="s">
        <v>17</v>
      </c>
      <c r="E4" t="s">
        <v>18</v>
      </c>
      <c r="F4" t="str">
        <f t="shared" si="0"/>
        <v>No</v>
      </c>
      <c r="G4" t="str">
        <f t="shared" si="1"/>
        <v>No</v>
      </c>
      <c r="H4" t="s">
        <v>17</v>
      </c>
      <c r="I4">
        <f>COUNTIFS(D:D,"o3",F:F,"Yes")</f>
        <v>0</v>
      </c>
      <c r="J4">
        <f>COUNTIFS(D:D,"o3",G:G,"Yes")</f>
        <v>0</v>
      </c>
    </row>
    <row r="5" spans="1:10">
      <c r="A5" s="8" t="s">
        <v>19</v>
      </c>
      <c r="B5" s="10">
        <v>44419.381504629629</v>
      </c>
      <c r="C5" s="6">
        <v>44456.634548611109</v>
      </c>
      <c r="D5" t="s">
        <v>20</v>
      </c>
      <c r="E5" t="s">
        <v>21</v>
      </c>
      <c r="F5" t="str">
        <f t="shared" si="0"/>
        <v>No</v>
      </c>
      <c r="G5" t="str">
        <f t="shared" si="1"/>
        <v>No</v>
      </c>
      <c r="H5" t="s">
        <v>20</v>
      </c>
      <c r="I5">
        <f>COUNTIFS(D:D,"o4",F:F,"Yes")</f>
        <v>0</v>
      </c>
      <c r="J5">
        <f>COUNTIFS(D:D,"o4",G:G,"Yes")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F9" sqref="F9"/>
    </sheetView>
  </sheetViews>
  <sheetFormatPr defaultRowHeight="15"/>
  <cols>
    <col min="1" max="1" width="7" bestFit="1" customWidth="1"/>
    <col min="2" max="2" width="15.5703125" bestFit="1" customWidth="1"/>
    <col min="3" max="3" width="15" bestFit="1" customWidth="1"/>
    <col min="4" max="4" width="32.85546875" bestFit="1" customWidth="1"/>
  </cols>
  <sheetData>
    <row r="1" spans="1:4">
      <c r="A1" s="1" t="s">
        <v>4</v>
      </c>
      <c r="B1" t="s">
        <v>22</v>
      </c>
      <c r="C1" t="s">
        <v>23</v>
      </c>
      <c r="D1" t="s">
        <v>24</v>
      </c>
    </row>
    <row r="2" spans="1:4">
      <c r="A2" t="s">
        <v>12</v>
      </c>
      <c r="B2" s="5">
        <v>44429.560277777775</v>
      </c>
      <c r="C2">
        <v>3</v>
      </c>
      <c r="D2" s="5">
        <f>INDEX(ticket!B:B, MATCH(A2, ticket!E:E, 0))</f>
        <v>44427.698414351849</v>
      </c>
    </row>
    <row r="3" spans="1:4">
      <c r="A3" t="s">
        <v>15</v>
      </c>
      <c r="B3" s="5">
        <v>44431.553333333337</v>
      </c>
      <c r="C3">
        <v>2</v>
      </c>
      <c r="D3" s="5">
        <f>INDEX(ticket!B:B, MATCH(A3, ticket!E:E, 0))</f>
        <v>44429.464837962965</v>
      </c>
    </row>
    <row r="4" spans="1:4">
      <c r="A4" t="s">
        <v>18</v>
      </c>
      <c r="B4" s="5">
        <v>44430.643611111111</v>
      </c>
      <c r="C4">
        <v>4</v>
      </c>
      <c r="D4" s="5">
        <f>INDEX(ticket!B:B, MATCH(A4, ticket!E:E, 0))</f>
        <v>44430.423171296294</v>
      </c>
    </row>
    <row r="5" spans="1:4">
      <c r="A5" t="s">
        <v>21</v>
      </c>
      <c r="B5" s="5">
        <v>44425.601944444446</v>
      </c>
      <c r="C5">
        <v>5</v>
      </c>
      <c r="D5" s="5">
        <f>INDEX(ticket!B:B, MATCH(A5, ticket!E:E, 0))</f>
        <v>44419.381504629629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gopikrishnan gopikrishnan</cp:lastModifiedBy>
  <cp:revision/>
  <dcterms:created xsi:type="dcterms:W3CDTF">2026-04-08T18:33:02Z</dcterms:created>
  <dcterms:modified xsi:type="dcterms:W3CDTF">2026-04-08T19:58:11Z</dcterms:modified>
  <cp:category/>
  <cp:contentStatus/>
</cp:coreProperties>
</file>